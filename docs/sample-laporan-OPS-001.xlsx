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poran" state="visible" r:id="rId4"/>
  </sheets>
  <calcPr calcId="171027"/>
</workbook>
</file>

<file path=xl/sharedStrings.xml><?xml version="1.0" encoding="utf-8"?>
<sst xmlns="http://schemas.openxmlformats.org/spreadsheetml/2006/main" count="109" uniqueCount="95">
  <si>
    <t>LAPORAN HARIAN PENANGANAN GANGGUAN</t>
  </si>
  <si>
    <t>SISTEM ATM DAN JARINGAN KOMUNIKASI</t>
  </si>
  <si>
    <t>FORM OPS-001</t>
  </si>
  <si>
    <t>Server</t>
  </si>
  <si>
    <t>Awal Shift</t>
  </si>
  <si>
    <t>Akhir Shift</t>
  </si>
  <si>
    <t>Cek</t>
  </si>
  <si>
    <t>Waktu</t>
  </si>
  <si>
    <t>Room Server</t>
  </si>
  <si>
    <t>R. Panel</t>
  </si>
  <si>
    <t>AC Ki/Ka</t>
  </si>
  <si>
    <t>NPAY</t>
  </si>
  <si>
    <t>Transaksi Normal</t>
  </si>
  <si>
    <t>21°C</t>
  </si>
  <si>
    <t>24°C</t>
  </si>
  <si>
    <t>Aktif / Aktif</t>
  </si>
  <si>
    <t>AJ-ATMB</t>
  </si>
  <si>
    <t>Normal</t>
  </si>
  <si>
    <t>22°C</t>
  </si>
  <si>
    <t>Hari / Tgl</t>
  </si>
  <si>
    <t>Selasa, 27 Mei 2026</t>
  </si>
  <si>
    <t>BI-FAST</t>
  </si>
  <si>
    <t>23°C</t>
  </si>
  <si>
    <t>Aktif / Mati</t>
  </si>
  <si>
    <t>Nama Petugas</t>
  </si>
  <si>
    <t>Kurnia Fajri</t>
  </si>
  <si>
    <t>PRIMA</t>
  </si>
  <si>
    <t>Gangguan</t>
  </si>
  <si>
    <t>Pemantauan Berkala 12 Jam (Ki / Ka)</t>
  </si>
  <si>
    <t>Normal / Normal</t>
  </si>
  <si>
    <t>Waktu Shift</t>
  </si>
  <si>
    <t>Shift A (07:00–15:00)</t>
  </si>
  <si>
    <t>Cip-Host</t>
  </si>
  <si>
    <t>Total Menit dalam 1 Bulan =</t>
  </si>
  <si>
    <t>No</t>
  </si>
  <si>
    <t>Waktu Kejadian Gangguan</t>
  </si>
  <si>
    <t>Unit Kerja / Tempat Kejadian</t>
  </si>
  <si>
    <t>Waktu Respon Penanganan Internal</t>
  </si>
  <si>
    <t>Contact Person</t>
  </si>
  <si>
    <t>Jenis Gangguan</t>
  </si>
  <si>
    <t>Sumber Penyebab Gangguan</t>
  </si>
  <si>
    <t>Metode Penanganan Gangguan</t>
  </si>
  <si>
    <t>Vendor Jaringan / ATM</t>
  </si>
  <si>
    <t>Uraian Kegiatan</t>
  </si>
  <si>
    <t>No Tiket Aduan dari Vendor</t>
  </si>
  <si>
    <t>Waktu Selesai Gangguan</t>
  </si>
  <si>
    <t>Lama Penyelesaian (hh:mm)</t>
  </si>
  <si>
    <t>Lama Penyelesaian (Menit)</t>
  </si>
  <si>
    <t>Total Waktu 1 Bulan (Menit)</t>
  </si>
  <si>
    <t>SLA (%)</t>
  </si>
  <si>
    <t>Keterangan</t>
  </si>
  <si>
    <t>Kegiatan</t>
  </si>
  <si>
    <t>010101 – ATM CAPEM IBUH PYK</t>
  </si>
  <si>
    <t>08:20</t>
  </si>
  <si>
    <t>Budi (0812-3456-7890)</t>
  </si>
  <si>
    <t>ATM Offline</t>
  </si>
  <si>
    <t>Listrik PLN Mati</t>
  </si>
  <si>
    <t>Penanganan gangguan oleh vendor ATM</t>
  </si>
  <si>
    <t>Bringin</t>
  </si>
  <si>
    <t xml:space="preserve">08:20
09:05
10:30</t>
  </si>
  <si>
    <t xml:space="preserve">Cek koneksi ATM, ATM offline.
Koordinasi dengan PLN area, listrik padam.
Listrik kembali normal, ATM online.</t>
  </si>
  <si>
    <t>VND-99812</t>
  </si>
  <si>
    <t>Selesai</t>
  </si>
  <si>
    <t>010205 – ATM KANTOR KAS BUKITTINGGI</t>
  </si>
  <si>
    <t>-</t>
  </si>
  <si>
    <t>WAG</t>
  </si>
  <si>
    <t>ATM Out of Service</t>
  </si>
  <si>
    <t>Cash Handler – Fatal</t>
  </si>
  <si>
    <t>Diebold</t>
  </si>
  <si>
    <t xml:space="preserve">11:45
12:30
13:15</t>
  </si>
  <si>
    <t xml:space="preserve">ATM out of service, cash handler error.
Vendor tiba di lokasi, penggantian part.
ATM kembali beroperasi normal.</t>
  </si>
  <si>
    <t>020110 – JARINGAN KANTOR CABANG PAYAKUMBUH</t>
  </si>
  <si>
    <t>14:12</t>
  </si>
  <si>
    <t>Andi (0813-1111-2222)</t>
  </si>
  <si>
    <t>Jaringan Kantor Offline</t>
  </si>
  <si>
    <t>Gangguan pada Jaringan Lintasarta</t>
  </si>
  <si>
    <t>Penanganan gangguan jaringan komunikasi pd Divisi TI</t>
  </si>
  <si>
    <t>Lintasarta</t>
  </si>
  <si>
    <t xml:space="preserve">14:12
14:55
</t>
  </si>
  <si>
    <t xml:space="preserve">Jaringan kantor cabang down, eskalasi ke Lintasarta.
Lintasarta investigasi gangguan link.
» TINDAK LANJUT MONITORING SELANJUTNYA</t>
  </si>
  <si>
    <t>LA-55231</t>
  </si>
  <si>
    <t>Dalam Proses</t>
  </si>
  <si>
    <t>Monitoring Dilanjutkan oleh Shift berikutnya</t>
  </si>
  <si>
    <t>Diteruskan ke shift berikutnya</t>
  </si>
  <si>
    <t>Padang, 27 Mei 2026</t>
  </si>
  <si>
    <t>Petugas Monitoring yang menyerahkan</t>
  </si>
  <si>
    <t>Petugas Monitoring yang Menerima</t>
  </si>
  <si>
    <t>Supervisi</t>
  </si>
  <si>
    <t xml:space="preserve">Mengetahui,
Bag. Infrastruktur TI</t>
  </si>
  <si>
    <t xml:space="preserve">Mengetahui,
Pemimpin Divisi</t>
  </si>
  <si>
    <t>( Kurnia Fajri )</t>
  </si>
  <si>
    <t>( Rian Islami Putra )</t>
  </si>
  <si>
    <t>( Tio Rahmayunda )</t>
  </si>
  <si>
    <t>( Pimpinan Bag. Infrastruktur TI )</t>
  </si>
  <si>
    <t>( Pemimpin Divisi TI 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</si>
</sst>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hh:mm"/>
    <numFmt numFmtId="165" formatCode="[h]:mm"/>
  </numFmts>
  <fonts count="10" x14ac:knownFonts="1">
    <font>
      <color theme="1"/>
      <family val="2"/>
      <scheme val="minor"/>
      <sz val="11"/>
      <name val="Calibri"/>
    </font>
    <font>
      <b/>
      <color rgb="FF003580"/>
      <sz val="14"/>
    </font>
    <font>
      <b/>
      <color rgb="FF333333"/>
      <sz val="11"/>
    </font>
    <font>
      <b/>
      <sz val="9"/>
    </font>
    <font>
      <b/>
      <color rgb="FFFFFFFF"/>
      <sz val="9"/>
    </font>
    <font>
      <sz val="9"/>
    </font>
    <font>
      <b/>
      <sz val="10"/>
    </font>
    <font>
      <sz val="10"/>
    </font>
    <font>
      <i/>
      <color rgb="FF003580"/>
      <sz val="9"/>
    </font>
    <font>
      <i/>
      <color rgb="FF666666"/>
      <sz val="8"/>
    </font>
  </fonts>
  <fills count="3">
    <fill>
      <patternFill patternType="none"/>
    </fill>
    <fill>
      <patternFill patternType="gray125"/>
    </fill>
    <fill>
      <patternFill patternType="solid">
        <fgColor rgb="FF003580"/>
      </patternFill>
    </fill>
  </fills>
  <borders count="3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/>
      <right/>
      <top style="thin">
        <color rgb="FF888888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3" fontId="3" fillId="0" borderId="1" xfId="0" applyNumberFormat="1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top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/>
    </xf>
    <xf numFmtId="165" fontId="5" fillId="0" borderId="1" xfId="0" applyNumberFormat="1" applyFont="1" applyBorder="1" applyAlignment="1">
      <alignment horizontal="center" vertical="top"/>
    </xf>
    <xf numFmtId="3" fontId="5" fillId="0" borderId="1" xfId="0" applyNumberFormat="1" applyFont="1" applyBorder="1" applyAlignment="1">
      <alignment horizontal="center" vertical="top"/>
    </xf>
    <xf numFmtId="3" fontId="5" fillId="0" borderId="1" xfId="0" applyNumberFormat="1" applyFont="1" applyBorder="1" applyAlignment="1">
      <alignment horizontal="center" vertical="top" wrapText="1"/>
    </xf>
    <xf numFmtId="10" fontId="5" fillId="0" borderId="1" xfId="0" applyNumberFormat="1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0" fontId="9" fillId="0" borderId="1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3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7500</xdr:colOff>
      <xdr:row>0</xdr:row>
      <xdr:rowOff>36000</xdr:rowOff>
    </xdr:from>
    <xdr:ext cx="1257300" cy="3810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S31"/>
  <sheetFormatPr defaultRowHeight="15" outlineLevelRow="0" outlineLevelCol="0" x14ac:dyDescent="55" defaultColWidth="10"/>
  <cols>
    <col min="1" max="1" width="3" customWidth="1"/>
    <col min="2" max="2" width="5" customWidth="1"/>
    <col min="3" max="3" width="12" customWidth="1"/>
    <col min="4" max="4" width="24" customWidth="1"/>
    <col min="5" max="5" width="12" customWidth="1"/>
    <col min="6" max="6" width="16" customWidth="1"/>
    <col min="7" max="7" width="18" customWidth="1"/>
    <col min="8" max="9" width="20" customWidth="1"/>
    <col min="10" max="10" width="14" customWidth="1"/>
    <col min="11" max="11" width="11" customWidth="1"/>
    <col min="12" max="12" width="32" customWidth="1"/>
    <col min="13" max="14" width="14" customWidth="1"/>
    <col min="15" max="16" width="11" customWidth="1"/>
    <col min="17" max="17" width="13" customWidth="1"/>
    <col min="19" max="19" width="16" customWidth="1"/>
  </cols>
  <sheetData>
    <row r="1" ht="20" customHeight="1" x14ac:dyDescent="0.25"/>
    <row r="2" ht="22" customHeight="1" spans="2:18" x14ac:dyDescent="0.25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2:19" x14ac:dyDescent="0.25">
      <c r="B3" s="2" t="s">
        <v>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S3" s="3" t="s">
        <v>2</v>
      </c>
    </row>
    <row r="5" spans="7:18" x14ac:dyDescent="0.25">
      <c r="G5" s="4" t="s">
        <v>3</v>
      </c>
      <c r="H5" s="4"/>
      <c r="I5" s="4" t="s">
        <v>4</v>
      </c>
      <c r="J5" s="4"/>
      <c r="K5" s="4" t="s">
        <v>5</v>
      </c>
      <c r="L5" s="4"/>
      <c r="N5" s="5" t="s">
        <v>6</v>
      </c>
      <c r="O5" s="5" t="s">
        <v>7</v>
      </c>
      <c r="P5" s="5" t="s">
        <v>8</v>
      </c>
      <c r="Q5" s="5" t="s">
        <v>9</v>
      </c>
      <c r="R5" s="5" t="s">
        <v>10</v>
      </c>
    </row>
    <row r="6" spans="7:18" x14ac:dyDescent="0.25">
      <c r="G6" s="6" t="s">
        <v>11</v>
      </c>
      <c r="H6" s="6"/>
      <c r="I6" s="7" t="s">
        <v>12</v>
      </c>
      <c r="J6" s="7"/>
      <c r="K6" s="7" t="s">
        <v>12</v>
      </c>
      <c r="L6" s="7"/>
      <c r="N6" s="8">
        <v>1</v>
      </c>
      <c r="O6" s="9">
        <v>46169.3125</v>
      </c>
      <c r="P6" s="7" t="s">
        <v>13</v>
      </c>
      <c r="Q6" s="7" t="s">
        <v>14</v>
      </c>
      <c r="R6" s="7" t="s">
        <v>15</v>
      </c>
    </row>
    <row r="7" spans="7:18" x14ac:dyDescent="0.25">
      <c r="G7" s="6" t="s">
        <v>16</v>
      </c>
      <c r="H7" s="6"/>
      <c r="I7" s="7" t="s">
        <v>17</v>
      </c>
      <c r="J7" s="7"/>
      <c r="K7" s="7" t="s">
        <v>17</v>
      </c>
      <c r="L7" s="7"/>
      <c r="N7" s="8">
        <v>2</v>
      </c>
      <c r="O7" s="9">
        <v>46169.458333333336</v>
      </c>
      <c r="P7" s="7" t="s">
        <v>18</v>
      </c>
      <c r="Q7" s="7" t="s">
        <v>14</v>
      </c>
      <c r="R7" s="7" t="s">
        <v>15</v>
      </c>
    </row>
    <row r="8" spans="2:18" x14ac:dyDescent="0.25">
      <c r="B8" s="10" t="s">
        <v>19</v>
      </c>
      <c r="C8" s="10"/>
      <c r="D8" s="11" t="s">
        <v>20</v>
      </c>
      <c r="E8" s="11"/>
      <c r="F8" s="11"/>
      <c r="G8" s="6" t="s">
        <v>21</v>
      </c>
      <c r="H8" s="6"/>
      <c r="I8" s="7" t="s">
        <v>12</v>
      </c>
      <c r="J8" s="7"/>
      <c r="K8" s="7" t="s">
        <v>12</v>
      </c>
      <c r="L8" s="7"/>
      <c r="N8" s="8">
        <v>3</v>
      </c>
      <c r="O8" s="9">
        <v>46169.604166666664</v>
      </c>
      <c r="P8" s="7" t="s">
        <v>13</v>
      </c>
      <c r="Q8" s="7" t="s">
        <v>22</v>
      </c>
      <c r="R8" s="7" t="s">
        <v>23</v>
      </c>
    </row>
    <row r="9" spans="2:18" x14ac:dyDescent="0.25">
      <c r="B9" s="10" t="s">
        <v>24</v>
      </c>
      <c r="C9" s="10"/>
      <c r="D9" s="11" t="s">
        <v>25</v>
      </c>
      <c r="E9" s="11"/>
      <c r="F9" s="11"/>
      <c r="G9" s="6" t="s">
        <v>26</v>
      </c>
      <c r="H9" s="6"/>
      <c r="I9" s="7" t="s">
        <v>17</v>
      </c>
      <c r="J9" s="7"/>
      <c r="K9" s="7" t="s">
        <v>27</v>
      </c>
      <c r="L9" s="7"/>
      <c r="N9" s="6" t="s">
        <v>28</v>
      </c>
      <c r="O9" s="6"/>
      <c r="P9" s="6"/>
      <c r="Q9" s="6"/>
      <c r="R9" s="7" t="s">
        <v>29</v>
      </c>
    </row>
    <row r="10" spans="2:19" x14ac:dyDescent="0.25">
      <c r="B10" s="10" t="s">
        <v>30</v>
      </c>
      <c r="C10" s="10"/>
      <c r="D10" s="11" t="s">
        <v>31</v>
      </c>
      <c r="E10" s="11"/>
      <c r="F10" s="11"/>
      <c r="G10" s="6" t="s">
        <v>32</v>
      </c>
      <c r="H10" s="6"/>
      <c r="I10" s="7" t="s">
        <v>17</v>
      </c>
      <c r="J10" s="7"/>
      <c r="K10" s="7" t="s">
        <v>17</v>
      </c>
      <c r="L10" s="7"/>
      <c r="O10" s="12" t="s">
        <v>33</v>
      </c>
      <c r="P10" s="12"/>
      <c r="Q10" s="12"/>
      <c r="R10" s="12"/>
      <c r="S10" s="13">
        <f>24*60*31</f>
      </c>
    </row>
    <row r="12" ht="30" customHeight="1" spans="2:19" x14ac:dyDescent="0.25">
      <c r="B12" s="14" t="s">
        <v>34</v>
      </c>
      <c r="C12" s="14" t="s">
        <v>35</v>
      </c>
      <c r="D12" s="14" t="s">
        <v>36</v>
      </c>
      <c r="E12" s="14" t="s">
        <v>37</v>
      </c>
      <c r="F12" s="14" t="s">
        <v>38</v>
      </c>
      <c r="G12" s="14" t="s">
        <v>39</v>
      </c>
      <c r="H12" s="14" t="s">
        <v>40</v>
      </c>
      <c r="I12" s="14" t="s">
        <v>41</v>
      </c>
      <c r="J12" s="14" t="s">
        <v>42</v>
      </c>
      <c r="K12" s="15" t="s">
        <v>43</v>
      </c>
      <c r="L12" s="15"/>
      <c r="M12" s="14" t="s">
        <v>44</v>
      </c>
      <c r="N12" s="14" t="s">
        <v>45</v>
      </c>
      <c r="O12" s="14" t="s">
        <v>46</v>
      </c>
      <c r="P12" s="14" t="s">
        <v>47</v>
      </c>
      <c r="Q12" s="14" t="s">
        <v>48</v>
      </c>
      <c r="R12" s="14" t="s">
        <v>49</v>
      </c>
      <c r="S12" s="14" t="s">
        <v>50</v>
      </c>
    </row>
    <row r="13" ht="16" customHeight="1" spans="2:19" x14ac:dyDescent="0.25">
      <c r="B13" s="14"/>
      <c r="C13" s="14"/>
      <c r="D13" s="14"/>
      <c r="E13" s="14"/>
      <c r="F13" s="14"/>
      <c r="G13" s="14"/>
      <c r="H13" s="14"/>
      <c r="I13" s="14"/>
      <c r="J13" s="14"/>
      <c r="K13" s="15" t="s">
        <v>7</v>
      </c>
      <c r="L13" s="15" t="s">
        <v>51</v>
      </c>
      <c r="M13" s="14"/>
      <c r="N13" s="14"/>
      <c r="O13" s="14"/>
      <c r="P13" s="14"/>
      <c r="Q13" s="14"/>
      <c r="R13" s="14"/>
      <c r="S13" s="14"/>
    </row>
    <row r="14" ht="45" customHeight="1" spans="2:19" x14ac:dyDescent="0.25">
      <c r="B14" s="16">
        <v>1</v>
      </c>
      <c r="C14" s="17">
        <v>46169.34375</v>
      </c>
      <c r="D14" s="18" t="s">
        <v>52</v>
      </c>
      <c r="E14" s="16" t="s">
        <v>53</v>
      </c>
      <c r="F14" s="19" t="s">
        <v>54</v>
      </c>
      <c r="G14" s="19" t="s">
        <v>55</v>
      </c>
      <c r="H14" s="19" t="s">
        <v>56</v>
      </c>
      <c r="I14" s="19" t="s">
        <v>57</v>
      </c>
      <c r="J14" s="19" t="s">
        <v>58</v>
      </c>
      <c r="K14" s="18" t="s">
        <v>59</v>
      </c>
      <c r="L14" s="18" t="s">
        <v>60</v>
      </c>
      <c r="M14" s="19" t="s">
        <v>61</v>
      </c>
      <c r="N14" s="17">
        <v>46169.44097222222</v>
      </c>
      <c r="O14" s="20">
        <f>N14-C14</f>
      </c>
      <c r="P14" s="21">
        <f>O14*24*60</f>
      </c>
      <c r="Q14" s="22">
        <f>$S$10-P14</f>
      </c>
      <c r="R14" s="23">
        <f>Q14/$S$10</f>
      </c>
      <c r="S14" s="19" t="s">
        <v>62</v>
      </c>
    </row>
    <row r="15" ht="45" customHeight="1" spans="2:19" x14ac:dyDescent="0.25">
      <c r="B15" s="16">
        <v>2</v>
      </c>
      <c r="C15" s="17">
        <v>46169.48611111111</v>
      </c>
      <c r="D15" s="18" t="s">
        <v>63</v>
      </c>
      <c r="E15" s="16" t="s">
        <v>64</v>
      </c>
      <c r="F15" s="19" t="s">
        <v>65</v>
      </c>
      <c r="G15" s="19" t="s">
        <v>66</v>
      </c>
      <c r="H15" s="19" t="s">
        <v>67</v>
      </c>
      <c r="I15" s="19" t="s">
        <v>57</v>
      </c>
      <c r="J15" s="19" t="s">
        <v>68</v>
      </c>
      <c r="K15" s="18" t="s">
        <v>69</v>
      </c>
      <c r="L15" s="18" t="s">
        <v>70</v>
      </c>
      <c r="M15" s="19" t="s">
        <v>64</v>
      </c>
      <c r="N15" s="17">
        <v>46169.555555555555</v>
      </c>
      <c r="O15" s="20">
        <f>N15-C15</f>
      </c>
      <c r="P15" s="21">
        <f>O15*24*60</f>
      </c>
      <c r="Q15" s="22">
        <f>$S$10-P15</f>
      </c>
      <c r="R15" s="23">
        <f>Q15/$S$10</f>
      </c>
      <c r="S15" s="19" t="s">
        <v>62</v>
      </c>
    </row>
    <row r="16" ht="45" customHeight="1" spans="2:19" x14ac:dyDescent="0.25">
      <c r="B16" s="16">
        <v>3</v>
      </c>
      <c r="C16" s="17">
        <v>46169.59027777778</v>
      </c>
      <c r="D16" s="18" t="s">
        <v>71</v>
      </c>
      <c r="E16" s="16" t="s">
        <v>72</v>
      </c>
      <c r="F16" s="19" t="s">
        <v>73</v>
      </c>
      <c r="G16" s="19" t="s">
        <v>74</v>
      </c>
      <c r="H16" s="19" t="s">
        <v>75</v>
      </c>
      <c r="I16" s="19" t="s">
        <v>76</v>
      </c>
      <c r="J16" s="19" t="s">
        <v>77</v>
      </c>
      <c r="K16" s="18" t="s">
        <v>78</v>
      </c>
      <c r="L16" s="18" t="s">
        <v>79</v>
      </c>
      <c r="M16" s="19" t="s">
        <v>80</v>
      </c>
      <c r="N16" s="24" t="s">
        <v>81</v>
      </c>
      <c r="O16" s="24"/>
      <c r="P16" s="24"/>
      <c r="Q16" s="25" t="s">
        <v>82</v>
      </c>
      <c r="R16" s="25"/>
      <c r="S16" s="19" t="s">
        <v>83</v>
      </c>
    </row>
    <row r="25" spans="2:6" x14ac:dyDescent="0.25">
      <c r="B25" s="11" t="s">
        <v>84</v>
      </c>
      <c r="C25" s="11"/>
      <c r="D25" s="11"/>
      <c r="E25" s="11"/>
      <c r="F25" s="11"/>
    </row>
    <row r="26" ht="28" customHeight="1" spans="3:19" x14ac:dyDescent="0.25">
      <c r="C26" s="26" t="s">
        <v>85</v>
      </c>
      <c r="D26" s="26"/>
      <c r="E26" s="26"/>
      <c r="F26" s="26" t="s">
        <v>86</v>
      </c>
      <c r="G26" s="26"/>
      <c r="H26" s="26"/>
      <c r="I26" s="26" t="s">
        <v>87</v>
      </c>
      <c r="J26" s="26"/>
      <c r="K26" s="26"/>
      <c r="O26" s="26" t="s">
        <v>88</v>
      </c>
      <c r="P26" s="26"/>
      <c r="R26" s="26" t="s">
        <v>89</v>
      </c>
      <c r="S26" s="26"/>
    </row>
    <row r="31" spans="3:19" x14ac:dyDescent="0.25">
      <c r="C31" s="27" t="s">
        <v>90</v>
      </c>
      <c r="D31" s="27"/>
      <c r="E31" s="27"/>
      <c r="F31" s="27" t="s">
        <v>91</v>
      </c>
      <c r="G31" s="27"/>
      <c r="H31" s="27"/>
      <c r="I31" s="27" t="s">
        <v>92</v>
      </c>
      <c r="J31" s="27"/>
      <c r="K31" s="27"/>
      <c r="O31" s="27" t="s">
        <v>93</v>
      </c>
      <c r="P31" s="27"/>
      <c r="R31" s="27" t="s">
        <v>94</v>
      </c>
      <c r="S31" s="27"/>
    </row>
  </sheetData>
  <mergeCells count="58">
    <mergeCell ref="B2:R2"/>
    <mergeCell ref="B3:Q3"/>
    <mergeCell ref="G5:H5"/>
    <mergeCell ref="I5:J5"/>
    <mergeCell ref="K5:L5"/>
    <mergeCell ref="G6:H6"/>
    <mergeCell ref="I6:J6"/>
    <mergeCell ref="K6:L6"/>
    <mergeCell ref="G7:H7"/>
    <mergeCell ref="I7:J7"/>
    <mergeCell ref="K7:L7"/>
    <mergeCell ref="B8:C8"/>
    <mergeCell ref="D8:F8"/>
    <mergeCell ref="G8:H8"/>
    <mergeCell ref="I8:J8"/>
    <mergeCell ref="K8:L8"/>
    <mergeCell ref="B9:C9"/>
    <mergeCell ref="D9:F9"/>
    <mergeCell ref="G9:H9"/>
    <mergeCell ref="I9:J9"/>
    <mergeCell ref="K9:L9"/>
    <mergeCell ref="N9:Q9"/>
    <mergeCell ref="B10:C10"/>
    <mergeCell ref="D10:F10"/>
    <mergeCell ref="G10:H10"/>
    <mergeCell ref="I10:J10"/>
    <mergeCell ref="K10:L10"/>
    <mergeCell ref="O10:R10"/>
    <mergeCell ref="K12:L12"/>
    <mergeCell ref="B12:B13"/>
    <mergeCell ref="C12:C13"/>
    <mergeCell ref="D12:D13"/>
    <mergeCell ref="E12:E13"/>
    <mergeCell ref="F12:F13"/>
    <mergeCell ref="G12:G13"/>
    <mergeCell ref="H12:H13"/>
    <mergeCell ref="I12:I13"/>
    <mergeCell ref="J12:J13"/>
    <mergeCell ref="M12:M13"/>
    <mergeCell ref="N12:N13"/>
    <mergeCell ref="O12:O13"/>
    <mergeCell ref="P12:P13"/>
    <mergeCell ref="Q12:Q13"/>
    <mergeCell ref="R12:R13"/>
    <mergeCell ref="S12:S13"/>
    <mergeCell ref="N16:P16"/>
    <mergeCell ref="Q16:R16"/>
    <mergeCell ref="B25:F25"/>
    <mergeCell ref="C26:E26"/>
    <mergeCell ref="F26:H26"/>
    <mergeCell ref="I26:K26"/>
    <mergeCell ref="O26:P26"/>
    <mergeCell ref="R26:S26"/>
    <mergeCell ref="C31:E31"/>
    <mergeCell ref="F31:H31"/>
    <mergeCell ref="I31:K31"/>
    <mergeCell ref="O31:P31"/>
    <mergeCell ref="R31:S31"/>
  </mergeCells>
  <pageMargins left="0.3" right="0.3" top="0.4" bottom="0.4" header="0.2" footer="0.2"/>
  <pageSetup orientation="landscape" horizontalDpi="4294967295" verticalDpi="4294967295" scale="100" fitToWidth="1" fitToHeight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Laporan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mtr-Report</dc:creator>
  <dc:title/>
  <dc:subject/>
  <dc:description/>
  <cp:keywords/>
  <cp:category/>
  <cp:lastModifiedBy>Unknown</cp:lastModifiedBy>
  <dcterms:created xsi:type="dcterms:W3CDTF">2026-05-27T10:58:31Z</dcterms:created>
  <dcterms:modified xsi:type="dcterms:W3CDTF">2026-05-27T10:58:31Z</dcterms:modified>
</cp:coreProperties>
</file>